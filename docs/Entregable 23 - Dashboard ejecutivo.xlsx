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Presupuesto" sheetId="2" r:id="rId2"/>
    <sheet name="Cronograma e hitos" sheetId="3" r:id="rId3"/>
    <sheet name="Riesgos" sheetId="4" r:id="rId4"/>
    <sheet name="Entregables" sheetId="5" r:id="rId5"/>
  </sheets>
  <calcPr calcId="124519" fullCalcOnLoad="1"/>
</workbook>
</file>

<file path=xl/sharedStrings.xml><?xml version="1.0" encoding="utf-8"?>
<sst xmlns="http://schemas.openxmlformats.org/spreadsheetml/2006/main" count="347" uniqueCount="234">
  <si>
    <t>Plataforma Universitaria Integrada</t>
  </si>
  <si>
    <t>Cumplimiento de cronograma (Tiempo)</t>
  </si>
  <si>
    <t>95%</t>
  </si>
  <si>
    <t>Meta: ≥ 90%</t>
  </si>
  <si>
    <t>Tareas a tiempo</t>
  </si>
  <si>
    <t>En meta</t>
  </si>
  <si>
    <t>Eficiencia de cronograma (SPI) (Tiempo)</t>
  </si>
  <si>
    <t>0.98</t>
  </si>
  <si>
    <t>Meta: ≥ 0.95</t>
  </si>
  <si>
    <t>Rendimiento</t>
  </si>
  <si>
    <t>Cumplimiento de presupuesto (Costo)</t>
  </si>
  <si>
    <t>92%</t>
  </si>
  <si>
    <t>Meta: ≤ 100%</t>
  </si>
  <si>
    <t>Presupuesto ejecutado</t>
  </si>
  <si>
    <t>Eficiencia de costos (CPI) (Costo)</t>
  </si>
  <si>
    <t>1.02</t>
  </si>
  <si>
    <t>Meta: ≥ 1.0</t>
  </si>
  <si>
    <t>Defectos por módulo (Calidad)</t>
  </si>
  <si>
    <t>0</t>
  </si>
  <si>
    <t>Meta: ≤ 3</t>
  </si>
  <si>
    <t>Errores reportados</t>
  </si>
  <si>
    <t>Cobertura de aceptación (Calidad)</t>
  </si>
  <si>
    <t>100%</t>
  </si>
  <si>
    <t>Meta: ≥ 95%</t>
  </si>
  <si>
    <t>Criterios cumplidos</t>
  </si>
  <si>
    <t>Pruebas exitosas (Calidad)</t>
  </si>
  <si>
    <t>Aprobación</t>
  </si>
  <si>
    <t>Riesgos críticos abiertos (Riesgos)</t>
  </si>
  <si>
    <t>Meta: 0 al cierre</t>
  </si>
  <si>
    <t>Sin mitigación</t>
  </si>
  <si>
    <t>Tiempo de respuesta (Riesgos)</t>
  </si>
  <si>
    <t>2 días</t>
  </si>
  <si>
    <t>Meta: ≤ 3 días</t>
  </si>
  <si>
    <t>Promedio</t>
  </si>
  <si>
    <t>Entregables por semana (Product.)</t>
  </si>
  <si>
    <t>9.6</t>
  </si>
  <si>
    <t>Meta: ≥ 2 / sem</t>
  </si>
  <si>
    <t>Por semana</t>
  </si>
  <si>
    <t>Variación de cronograma (SV) (Tiempo)</t>
  </si>
  <si>
    <t>Meta: ≥ 0</t>
  </si>
  <si>
    <t>Días de desfase</t>
  </si>
  <si>
    <t>Variación de costo (CV) (Costo)</t>
  </si>
  <si>
    <t>₡0</t>
  </si>
  <si>
    <t>Ahorro / Sobrecosto</t>
  </si>
  <si>
    <t>Satisfacción del equipo (Calidad)</t>
  </si>
  <si>
    <t>4.5</t>
  </si>
  <si>
    <t>Meta: ≥ 4.0</t>
  </si>
  <si>
    <t>Escala 1 a 5</t>
  </si>
  <si>
    <t>Riesgos mitigados (Riesgos)</t>
  </si>
  <si>
    <t>85%</t>
  </si>
  <si>
    <t>Meta: ≥ 80%</t>
  </si>
  <si>
    <t>Sobre identificados</t>
  </si>
  <si>
    <t>Resumen financiero</t>
  </si>
  <si>
    <t>Presupuesto total</t>
  </si>
  <si>
    <t>Presupuesto ejecutado (est. 92%)</t>
  </si>
  <si>
    <t>Saldo disponible</t>
  </si>
  <si>
    <t>Avance del proyecto</t>
  </si>
  <si>
    <t>Entregables completados</t>
  </si>
  <si>
    <t>Entregables pendientes</t>
  </si>
  <si>
    <t>Porcentaje de avance</t>
  </si>
  <si>
    <t>Métrica temporal</t>
  </si>
  <si>
    <t>Días totales (8 jun - 24 jun)</t>
  </si>
  <si>
    <t>Días transcurridos</t>
  </si>
  <si>
    <t>Avance de tiempo</t>
  </si>
  <si>
    <t>Salud del proyecto</t>
  </si>
  <si>
    <t>Tiempo</t>
  </si>
  <si>
    <t>Conforme</t>
  </si>
  <si>
    <t>Costo</t>
  </si>
  <si>
    <t>Calidad</t>
  </si>
  <si>
    <t>Riesgos</t>
  </si>
  <si>
    <t>Alerta moderada</t>
  </si>
  <si>
    <t>Resumen de riesgos activos</t>
  </si>
  <si>
    <t>Críticos</t>
  </si>
  <si>
    <t>Altos</t>
  </si>
  <si>
    <t>Medios</t>
  </si>
  <si>
    <t>Desglose del presupuesto</t>
  </si>
  <si>
    <t>Categoría</t>
  </si>
  <si>
    <t>Monto</t>
  </si>
  <si>
    <t>Mano de obra (equipo de proyecto)</t>
  </si>
  <si>
    <t>Licencias y herramientas de software</t>
  </si>
  <si>
    <t>Infraestructura y hosting</t>
  </si>
  <si>
    <t>Capacitación y gestión del cambio</t>
  </si>
  <si>
    <t>Pruebas y control de calidad</t>
  </si>
  <si>
    <t>Contingencias</t>
  </si>
  <si>
    <t>Documentación y gestión del proyecto</t>
  </si>
  <si>
    <t>Fase</t>
  </si>
  <si>
    <t>Fase 1: Inicio</t>
  </si>
  <si>
    <t>Fase 2: Planificación</t>
  </si>
  <si>
    <t>Fase 3: Desarrollo Front-End</t>
  </si>
  <si>
    <t>Fase 4: Monitoreo y control</t>
  </si>
  <si>
    <t>Fase 5: Cierre</t>
  </si>
  <si>
    <t>Rubros adicionales (software, hardware, servicios)</t>
  </si>
  <si>
    <t>Reserva para contingencias (10%)</t>
  </si>
  <si>
    <t>Comparación planificado vs ejecutado</t>
  </si>
  <si>
    <t>Presupuesto planificado (100%)</t>
  </si>
  <si>
    <t>Presupuesto ejecutado (~92%)</t>
  </si>
  <si>
    <t>Cronograma y control de hitos</t>
  </si>
  <si>
    <t>Hito</t>
  </si>
  <si>
    <t>Fecha planificada</t>
  </si>
  <si>
    <t>Estado</t>
  </si>
  <si>
    <t>Aprobación del Project Charter y confirmación del alcance general</t>
  </si>
  <si>
    <t>Completado</t>
  </si>
  <si>
    <t>Finalización de entregables de inicio y planificación base</t>
  </si>
  <si>
    <t>Elaboración de alcance, WBS, RACI, organigrama, recursos y costos</t>
  </si>
  <si>
    <t>Elaboración del cronograma, plan de calidad, comunicaciones, riesgos y adquisiciones</t>
  </si>
  <si>
    <t>Desarrollo de módulos principales del Front-End</t>
  </si>
  <si>
    <t>Elaboración de KPIs, control de cambios, solicitudes de cambio y evaluación de cambios</t>
  </si>
  <si>
    <t>Dashboard ejecutivo del proyecto, informe ejecutivo, acta de cierre y reflexiones</t>
  </si>
  <si>
    <t>En progreso</t>
  </si>
  <si>
    <t>Revisión final, correcciones, integración de documentos y entrega</t>
  </si>
  <si>
    <t>Pendiente</t>
  </si>
  <si>
    <t>Línea de tiempo textual del desarrollo</t>
  </si>
  <si>
    <t>2026-06-08 - Aprobación del Project Charter y confirmación del alcance general (Completado)</t>
  </si>
  <si>
    <t>2026-06-11 - Finalización de entregables de inicio y planificación base (Completado)</t>
  </si>
  <si>
    <t>2026-06-14 - Elaboración de alcance, WBS, RACI, organigrama, recursos y costos (Completado)</t>
  </si>
  <si>
    <t>2026-06-17 - Elaboración del cronograma, plan de calidad, comunicaciones, riesgos y adquisiciones (Completado)</t>
  </si>
  <si>
    <t>2026-06-20 - Desarrollo de módulos principales del Front-End (Completado)</t>
  </si>
  <si>
    <t>2026-06-21 - Elaboración de KPIs, control de cambios, solicitudes de cambio y evaluación de cambios (Completado)</t>
  </si>
  <si>
    <t>2026-06-23 - Dashboard ejecutivo del proyecto, informe ejecutivo, acta de cierre y reflexiones (En progreso)</t>
  </si>
  <si>
    <t>2026-06-24 - Revisión final, correcciones, integración de documentos y entrega (Pendiente)</t>
  </si>
  <si>
    <t>Monitoreo integral de contingencias (Riesgos)</t>
  </si>
  <si>
    <t>Código</t>
  </si>
  <si>
    <t>Riesgo</t>
  </si>
  <si>
    <t>Probabilidad</t>
  </si>
  <si>
    <t>Impacto</t>
  </si>
  <si>
    <t>Nivel</t>
  </si>
  <si>
    <t>Responsable</t>
  </si>
  <si>
    <t>R-01</t>
  </si>
  <si>
    <t>Restricción fuerte de tiempo (entrega 24 jun)</t>
  </si>
  <si>
    <t>Tamara Robles</t>
  </si>
  <si>
    <t>R-02</t>
  </si>
  <si>
    <t>Alcance creciente o scope creep</t>
  </si>
  <si>
    <t>Tamara Robles / Isaac Jiménez</t>
  </si>
  <si>
    <t>R-04</t>
  </si>
  <si>
    <t>Subestimación del esfuerzo del Front-End</t>
  </si>
  <si>
    <t>Mauricio González / Carlos Sainz</t>
  </si>
  <si>
    <t>R-05</t>
  </si>
  <si>
    <t>Disponibilidad limitada del equipo</t>
  </si>
  <si>
    <t>R-06</t>
  </si>
  <si>
    <t>Errores críticos de navegación en el prototipo</t>
  </si>
  <si>
    <t>R-07</t>
  </si>
  <si>
    <t>Baja usabilidad del prototipo</t>
  </si>
  <si>
    <t>R-09</t>
  </si>
  <si>
    <t>Problemas con GitHub o pérdida de versiones</t>
  </si>
  <si>
    <t>R-10</t>
  </si>
  <si>
    <t>Cambios tardíos cerca de la entrega</t>
  </si>
  <si>
    <t>R-11</t>
  </si>
  <si>
    <t>Falta de criterios claros de aceptación</t>
  </si>
  <si>
    <t>Isaac Jiménez / Jorge Abarca</t>
  </si>
  <si>
    <t>R-12</t>
  </si>
  <si>
    <t>Mala comunicación entre integrantes</t>
  </si>
  <si>
    <t>R-15</t>
  </si>
  <si>
    <t>Expectativa de funcionalidades no incluidas</t>
  </si>
  <si>
    <t>R-16</t>
  </si>
  <si>
    <t>Falta de evidencia final organizada</t>
  </si>
  <si>
    <t>Todo el equipo</t>
  </si>
  <si>
    <t>R-14</t>
  </si>
  <si>
    <t>Baja validación de stakeholders externos</t>
  </si>
  <si>
    <t>Distribución de riesgos por severidad</t>
  </si>
  <si>
    <t>Matriz de probabilidad e impacto (Cantidad de riesgos)</t>
  </si>
  <si>
    <t>Impacto 1</t>
  </si>
  <si>
    <t>Impacto 2</t>
  </si>
  <si>
    <t>Impacto 3</t>
  </si>
  <si>
    <t>Impacto 4</t>
  </si>
  <si>
    <t>Impacto 5</t>
  </si>
  <si>
    <t>Prob 5</t>
  </si>
  <si>
    <t>Prob 4</t>
  </si>
  <si>
    <t>Prob 3</t>
  </si>
  <si>
    <t>Prob 2</t>
  </si>
  <si>
    <t>Prob 1</t>
  </si>
  <si>
    <t>Entregables del proyecto</t>
  </si>
  <si>
    <t>Nombre</t>
  </si>
  <si>
    <t>E-01</t>
  </si>
  <si>
    <t>Business Case</t>
  </si>
  <si>
    <t>Inicio</t>
  </si>
  <si>
    <t>Isaac Jiménez</t>
  </si>
  <si>
    <t>E-02</t>
  </si>
  <si>
    <t>Project Charter</t>
  </si>
  <si>
    <t>E-03</t>
  </si>
  <si>
    <t>Registro de stakeholders</t>
  </si>
  <si>
    <t>Jorge Abarca</t>
  </si>
  <si>
    <t>E-04</t>
  </si>
  <si>
    <t>Definición del alcance</t>
  </si>
  <si>
    <t>Planificación</t>
  </si>
  <si>
    <t>E-05</t>
  </si>
  <si>
    <t>WBS</t>
  </si>
  <si>
    <t>E-06</t>
  </si>
  <si>
    <t>Cronograma del proyecto (MS Project)</t>
  </si>
  <si>
    <t>E-07</t>
  </si>
  <si>
    <t>Matriz RACI</t>
  </si>
  <si>
    <t>E-08</t>
  </si>
  <si>
    <t>Organigrama del proyecto</t>
  </si>
  <si>
    <t>E-09</t>
  </si>
  <si>
    <t>Plan de recursos</t>
  </si>
  <si>
    <t>E-10</t>
  </si>
  <si>
    <t>Estimación de costos</t>
  </si>
  <si>
    <t>E-11</t>
  </si>
  <si>
    <t>Plan de calidad</t>
  </si>
  <si>
    <t>E-12</t>
  </si>
  <si>
    <t>Plan de comunicaciones</t>
  </si>
  <si>
    <t>E-13</t>
  </si>
  <si>
    <t>Plan de gestión de riesgos</t>
  </si>
  <si>
    <t>E-14</t>
  </si>
  <si>
    <t>Registro de riesgos</t>
  </si>
  <si>
    <t>E-15</t>
  </si>
  <si>
    <t>Matriz probabilidad e impacto</t>
  </si>
  <si>
    <t>E-16</t>
  </si>
  <si>
    <t>Plan de adquisiciones</t>
  </si>
  <si>
    <t>E-17</t>
  </si>
  <si>
    <t>KPIs del proyecto</t>
  </si>
  <si>
    <t>E-18</t>
  </si>
  <si>
    <t>Desarrollo del Front-End</t>
  </si>
  <si>
    <t>Ejecución</t>
  </si>
  <si>
    <t>Mauricio González</t>
  </si>
  <si>
    <t>E-19</t>
  </si>
  <si>
    <t>Proceso de control de cambios</t>
  </si>
  <si>
    <t>Monitoreo</t>
  </si>
  <si>
    <t>E-20</t>
  </si>
  <si>
    <t>Solicitud de cambio #1</t>
  </si>
  <si>
    <t>E-21</t>
  </si>
  <si>
    <t>Solicitud de cambio #2</t>
  </si>
  <si>
    <t>E-22</t>
  </si>
  <si>
    <t>Evaluación de cambios</t>
  </si>
  <si>
    <t>E-25</t>
  </si>
  <si>
    <t>Acta de cierre</t>
  </si>
  <si>
    <t>Cierre</t>
  </si>
  <si>
    <t>E-26</t>
  </si>
  <si>
    <t>Reflexiones y recomendaciones</t>
  </si>
  <si>
    <t>Equipo</t>
  </si>
  <si>
    <t>E-23</t>
  </si>
  <si>
    <t>Dashboard ejecutivo del proyecto</t>
  </si>
  <si>
    <t>E-24</t>
  </si>
  <si>
    <t>Informe ejecutivo</t>
  </si>
  <si>
    <t>Resumen por estado</t>
  </si>
</sst>
</file>

<file path=xl/styles.xml><?xml version="1.0" encoding="utf-8"?>
<styleSheet xmlns="http://schemas.openxmlformats.org/spreadsheetml/2006/main">
  <numFmts count="3">
    <numFmt numFmtId="164" formatCode="₡#,##0.00"/>
    <numFmt numFmtId="165" formatCode="0.0%"/>
    <numFmt numFmtId="166" formatCode="dd mmm yyyy"/>
  </numFmts>
  <fonts count="9">
    <font>
      <sz val="11"/>
      <color theme="1"/>
      <name val="Calibri"/>
      <family val="2"/>
      <scheme val="minor"/>
    </font>
    <font>
      <b/>
      <sz val="18"/>
      <color rgb="FF1E3A5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color rgb="FF555555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1E3A5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3A5F"/>
        <bgColor indexed="64"/>
      </patternFill>
    </fill>
    <fill>
      <patternFill patternType="solid">
        <fgColor rgb="FF28A745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DC354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solidFill>
                  <a:srgbClr val="1E3A5F"/>
                </a:solidFill>
              </a:defRPr>
            </a:pPr>
            <a:r>
              <a:rPr lang="en-US" baseline="0">
                <a:solidFill>
                  <a:srgbClr val="1E3A5F"/>
                </a:solidFill>
              </a:rPr>
              <a:t>Presupuesto por fase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Presupuesto por fase</c:v>
          </c:tx>
          <c:spPr>
            <a:solidFill>
              <a:srgbClr val="2D6A9F"/>
            </a:solidFill>
          </c:spPr>
          <c:cat>
            <c:strRef>
              <c:f>'Presupuesto'!$B$15:$B$21</c:f>
              <c:strCache>
                <c:ptCount val="7"/>
                <c:pt idx="0">
                  <c:v>Fase 1: Inicio</c:v>
                </c:pt>
                <c:pt idx="1">
                  <c:v>Fase 2: Planificación</c:v>
                </c:pt>
                <c:pt idx="2">
                  <c:v>Fase 3: Desarrollo Front-End</c:v>
                </c:pt>
                <c:pt idx="3">
                  <c:v>Fase 4: Monitoreo y control</c:v>
                </c:pt>
                <c:pt idx="4">
                  <c:v>Fase 5: Cierre</c:v>
                </c:pt>
                <c:pt idx="5">
                  <c:v>Rubros adicionales (software, hardware, servicios)</c:v>
                </c:pt>
                <c:pt idx="6">
                  <c:v>Reserva para contingencias (10%)</c:v>
                </c:pt>
              </c:strCache>
            </c:strRef>
          </c:cat>
          <c:val>
            <c:numRef>
              <c:f>'Presupuesto'!$C$15:$C$21</c:f>
              <c:numCache>
                <c:formatCode>General</c:formatCode>
                <c:ptCount val="7"/>
                <c:pt idx="0">
                  <c:v>1886667</c:v>
                </c:pt>
                <c:pt idx="1">
                  <c:v>3686667</c:v>
                </c:pt>
                <c:pt idx="2">
                  <c:v>7010000</c:v>
                </c:pt>
                <c:pt idx="3">
                  <c:v>2271667</c:v>
                </c:pt>
                <c:pt idx="4">
                  <c:v>588333</c:v>
                </c:pt>
                <c:pt idx="5">
                  <c:v>666000</c:v>
                </c:pt>
                <c:pt idx="6">
                  <c:v>1515867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solidFill>
                  <a:srgbClr val="1E3A5F"/>
                </a:solidFill>
              </a:defRPr>
            </a:pPr>
            <a:r>
              <a:rPr lang="en-US" baseline="0">
                <a:solidFill>
                  <a:srgbClr val="1E3A5F"/>
                </a:solidFill>
              </a:rPr>
              <a:t>Distribución por categoría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por categoría</c:v>
          </c:tx>
          <c:cat>
            <c:strRef>
              <c:f>'Presupuesto'!$B$5:$B$11</c:f>
              <c:strCache>
                <c:ptCount val="7"/>
                <c:pt idx="0">
                  <c:v>Mano de obra (equipo de proyecto)</c:v>
                </c:pt>
                <c:pt idx="1">
                  <c:v>Licencias y herramientas de software</c:v>
                </c:pt>
                <c:pt idx="2">
                  <c:v>Infraestructura y hosting</c:v>
                </c:pt>
                <c:pt idx="3">
                  <c:v>Capacitación y gestión del cambio</c:v>
                </c:pt>
                <c:pt idx="4">
                  <c:v>Pruebas y control de calidad</c:v>
                </c:pt>
                <c:pt idx="5">
                  <c:v>Contingencias</c:v>
                </c:pt>
                <c:pt idx="6">
                  <c:v>Documentación y gestión del proyecto</c:v>
                </c:pt>
              </c:strCache>
            </c:strRef>
          </c:cat>
          <c:val>
            <c:numRef>
              <c:f>'Presupuesto'!$C$5:$C$11</c:f>
              <c:numCache>
                <c:formatCode>General</c:formatCode>
                <c:ptCount val="7"/>
                <c:pt idx="0">
                  <c:v>14000000</c:v>
                </c:pt>
                <c:pt idx="1">
                  <c:v>1700000</c:v>
                </c:pt>
                <c:pt idx="2">
                  <c:v>1900000</c:v>
                </c:pt>
                <c:pt idx="3">
                  <c:v>2300500</c:v>
                </c:pt>
                <c:pt idx="4">
                  <c:v>3000000</c:v>
                </c:pt>
                <c:pt idx="5">
                  <c:v>1600000</c:v>
                </c:pt>
                <c:pt idx="6">
                  <c:v>2700000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solidFill>
                  <a:srgbClr val="1E3A5F"/>
                </a:solidFill>
              </a:defRPr>
            </a:pPr>
            <a:r>
              <a:rPr lang="en-US" baseline="0">
                <a:solidFill>
                  <a:srgbClr val="1E3A5F"/>
                </a:solidFill>
              </a:rPr>
              <a:t>Distribución por fases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Presupuesto por fases</c:v>
          </c:tx>
          <c:spPr>
            <a:solidFill>
              <a:srgbClr val="2D6A9F"/>
            </a:solidFill>
          </c:spPr>
          <c:cat>
            <c:strRef>
              <c:f>'Presupuesto'!$B$15:$B$21</c:f>
              <c:strCache>
                <c:ptCount val="7"/>
                <c:pt idx="0">
                  <c:v>Fase 1: Inicio</c:v>
                </c:pt>
                <c:pt idx="1">
                  <c:v>Fase 2: Planificación</c:v>
                </c:pt>
                <c:pt idx="2">
                  <c:v>Fase 3: Desarrollo Front-End</c:v>
                </c:pt>
                <c:pt idx="3">
                  <c:v>Fase 4: Monitoreo y control</c:v>
                </c:pt>
                <c:pt idx="4">
                  <c:v>Fase 5: Cierre</c:v>
                </c:pt>
                <c:pt idx="5">
                  <c:v>Rubros adicionales (software, hardware, servicios)</c:v>
                </c:pt>
                <c:pt idx="6">
                  <c:v>Reserva para contingencias (10%)</c:v>
                </c:pt>
              </c:strCache>
            </c:strRef>
          </c:cat>
          <c:val>
            <c:numRef>
              <c:f>'Presupuesto'!$C$15:$C$21</c:f>
              <c:numCache>
                <c:formatCode>General</c:formatCode>
                <c:ptCount val="7"/>
                <c:pt idx="0">
                  <c:v>1886667</c:v>
                </c:pt>
                <c:pt idx="1">
                  <c:v>3686667</c:v>
                </c:pt>
                <c:pt idx="2">
                  <c:v>7010000</c:v>
                </c:pt>
                <c:pt idx="3">
                  <c:v>2271667</c:v>
                </c:pt>
                <c:pt idx="4">
                  <c:v>588333</c:v>
                </c:pt>
                <c:pt idx="5">
                  <c:v>666000</c:v>
                </c:pt>
                <c:pt idx="6">
                  <c:v>1515867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solidFill>
                  <a:srgbClr val="1E3A5F"/>
                </a:solidFill>
              </a:defRPr>
            </a:pPr>
            <a:r>
              <a:rPr lang="en-US" baseline="0">
                <a:solidFill>
                  <a:srgbClr val="1E3A5F"/>
                </a:solidFill>
              </a:rPr>
              <a:t>Distribución estadística de riesgos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Cantidad</c:v>
          </c:tx>
          <c:spPr>
            <a:solidFill>
              <a:srgbClr val="2D6A9F"/>
            </a:solidFill>
          </c:spPr>
          <c:cat>
            <c:strRef>
              <c:f>'Riesgos'!$C$21:$C$23</c:f>
              <c:strCache>
                <c:ptCount val="3"/>
                <c:pt idx="0">
                  <c:v>Críticos</c:v>
                </c:pt>
                <c:pt idx="1">
                  <c:v>Altos</c:v>
                </c:pt>
                <c:pt idx="2">
                  <c:v>Medios</c:v>
                </c:pt>
              </c:strCache>
            </c:strRef>
          </c:cat>
          <c:val>
            <c:numRef>
              <c:f>'Riesgos'!$D$21:$D$23</c:f>
              <c:numCache>
                <c:formatCode>General</c:formatCode>
                <c:ptCount val="3"/>
                <c:pt idx="0">
                  <c:v>4</c:v>
                </c:pt>
                <c:pt idx="1">
                  <c:v>8</c:v>
                </c:pt>
                <c:pt idx="2">
                  <c:v>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baseline="0">
                <a:solidFill>
                  <a:srgbClr val="1E3A5F"/>
                </a:solidFill>
              </a:defRPr>
            </a:pPr>
            <a:r>
              <a:rPr lang="en-US" baseline="0">
                <a:solidFill>
                  <a:srgbClr val="1E3A5F"/>
                </a:solidFill>
              </a:rPr>
              <a:t>Estado de entregables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Estado de entregables</c:v>
          </c:tx>
          <c:dPt>
            <c:idx val="0"/>
            <c:spPr>
              <a:solidFill>
                <a:srgbClr val="28A745"/>
              </a:solidFill>
            </c:spPr>
          </c:dPt>
          <c:dPt>
            <c:idx val="1"/>
            <c:spPr>
              <a:solidFill>
                <a:srgbClr val="DC3545"/>
              </a:solidFill>
            </c:spPr>
          </c:dPt>
          <c:cat>
            <c:strRef>
              <c:f>'Entregables'!$B$34:$B$35</c:f>
              <c:strCache>
                <c:ptCount val="2"/>
                <c:pt idx="0">
                  <c:v>Completado</c:v>
                </c:pt>
                <c:pt idx="1">
                  <c:v>Pendiente</c:v>
                </c:pt>
              </c:strCache>
            </c:strRef>
          </c:cat>
          <c:val>
            <c:numRef>
              <c:f>'Entregables'!$C$34:$C$35</c:f>
              <c:numCache>
                <c:formatCode>General</c:formatCode>
                <c:ptCount val="2"/>
                <c:pt idx="0">
                  <c:v>24</c:v>
                </c:pt>
                <c:pt idx="1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31</xdr:row>
      <xdr:rowOff>0</xdr:rowOff>
    </xdr:from>
    <xdr:to>
      <xdr:col>15</xdr:col>
      <xdr:colOff>466725</xdr:colOff>
      <xdr:row>51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13</xdr:col>
      <xdr:colOff>457200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24</xdr:row>
      <xdr:rowOff>0</xdr:rowOff>
    </xdr:from>
    <xdr:to>
      <xdr:col>17</xdr:col>
      <xdr:colOff>304800</xdr:colOff>
      <xdr:row>44</xdr:row>
      <xdr:rowOff>28575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18</xdr:row>
      <xdr:rowOff>0</xdr:rowOff>
    </xdr:from>
    <xdr:to>
      <xdr:col>7</xdr:col>
      <xdr:colOff>295275</xdr:colOff>
      <xdr:row>32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31</xdr:row>
      <xdr:rowOff>0</xdr:rowOff>
    </xdr:from>
    <xdr:to>
      <xdr:col>7</xdr:col>
      <xdr:colOff>200025</xdr:colOff>
      <xdr:row>45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44"/>
  <sheetViews>
    <sheetView tabSelected="1" workbookViewId="0"/>
  </sheetViews>
  <sheetFormatPr defaultRowHeight="15"/>
  <cols>
    <col min="1" max="1" width="2.7109375" customWidth="1"/>
    <col min="2" max="3" width="24.7109375" customWidth="1"/>
    <col min="4" max="4" width="6.5703125" customWidth="1"/>
    <col min="5" max="6" width="24.7109375" customWidth="1"/>
    <col min="7" max="7" width="6.5703125" customWidth="1"/>
    <col min="8" max="8" width="26.42578125" customWidth="1"/>
    <col min="9" max="9" width="21.42578125" customWidth="1"/>
  </cols>
  <sheetData>
    <row r="2" spans="2:9">
      <c r="B2" s="1" t="s">
        <v>0</v>
      </c>
      <c r="C2" s="1"/>
      <c r="D2" s="1"/>
      <c r="E2" s="1"/>
      <c r="F2" s="1"/>
      <c r="G2" s="1"/>
      <c r="H2" s="1"/>
      <c r="I2" s="1"/>
    </row>
    <row r="4" spans="2:9">
      <c r="B4" s="2" t="s">
        <v>1</v>
      </c>
      <c r="C4" s="2"/>
      <c r="E4" s="2" t="s">
        <v>6</v>
      </c>
      <c r="F4" s="2"/>
      <c r="H4" s="3" t="s">
        <v>52</v>
      </c>
    </row>
    <row r="5" spans="2:9">
      <c r="B5" s="4" t="s">
        <v>2</v>
      </c>
      <c r="C5" s="4"/>
      <c r="E5" s="4" t="s">
        <v>7</v>
      </c>
      <c r="F5" s="4"/>
      <c r="H5" s="5" t="s">
        <v>53</v>
      </c>
      <c r="I5" s="6">
        <v>17625200</v>
      </c>
    </row>
    <row r="6" spans="2:9">
      <c r="B6" s="4"/>
      <c r="C6" s="4"/>
      <c r="E6" s="4"/>
      <c r="F6" s="4"/>
      <c r="H6" s="5" t="s">
        <v>54</v>
      </c>
      <c r="I6" s="6">
        <v>16215184</v>
      </c>
    </row>
    <row r="7" spans="2:9">
      <c r="B7" s="7" t="s">
        <v>3</v>
      </c>
      <c r="C7" s="7" t="s">
        <v>4</v>
      </c>
      <c r="E7" s="7" t="s">
        <v>8</v>
      </c>
      <c r="F7" s="7" t="s">
        <v>9</v>
      </c>
      <c r="H7" s="5" t="s">
        <v>55</v>
      </c>
      <c r="I7" s="6">
        <v>1410016</v>
      </c>
    </row>
    <row r="8" spans="2:9">
      <c r="B8" s="8" t="s">
        <v>5</v>
      </c>
      <c r="C8" s="8"/>
      <c r="E8" s="8" t="s">
        <v>5</v>
      </c>
      <c r="F8" s="8"/>
    </row>
    <row r="9" spans="2:9">
      <c r="H9" s="3" t="s">
        <v>56</v>
      </c>
    </row>
    <row r="10" spans="2:9">
      <c r="B10" s="2" t="s">
        <v>10</v>
      </c>
      <c r="C10" s="2"/>
      <c r="E10" s="2" t="s">
        <v>14</v>
      </c>
      <c r="F10" s="2"/>
      <c r="H10" s="5" t="s">
        <v>57</v>
      </c>
      <c r="I10" s="9">
        <v>24</v>
      </c>
    </row>
    <row r="11" spans="2:9">
      <c r="B11" s="4" t="s">
        <v>11</v>
      </c>
      <c r="C11" s="4"/>
      <c r="E11" s="4" t="s">
        <v>15</v>
      </c>
      <c r="F11" s="4"/>
      <c r="H11" s="5" t="s">
        <v>58</v>
      </c>
      <c r="I11" s="9">
        <v>2</v>
      </c>
    </row>
    <row r="12" spans="2:9">
      <c r="B12" s="4"/>
      <c r="C12" s="4"/>
      <c r="E12" s="4"/>
      <c r="F12" s="4"/>
      <c r="H12" s="5" t="s">
        <v>59</v>
      </c>
      <c r="I12" s="10">
        <v>0.9230769230769231</v>
      </c>
    </row>
    <row r="13" spans="2:9">
      <c r="B13" s="7" t="s">
        <v>12</v>
      </c>
      <c r="C13" s="7" t="s">
        <v>13</v>
      </c>
      <c r="E13" s="7" t="s">
        <v>16</v>
      </c>
      <c r="F13" s="7" t="s">
        <v>9</v>
      </c>
    </row>
    <row r="14" spans="2:9">
      <c r="B14" s="8" t="s">
        <v>5</v>
      </c>
      <c r="C14" s="8"/>
      <c r="E14" s="8" t="s">
        <v>5</v>
      </c>
      <c r="F14" s="8"/>
      <c r="H14" s="3" t="s">
        <v>60</v>
      </c>
    </row>
    <row r="15" spans="2:9">
      <c r="H15" s="5" t="s">
        <v>61</v>
      </c>
      <c r="I15" s="9">
        <v>16</v>
      </c>
    </row>
    <row r="16" spans="2:9">
      <c r="B16" s="2" t="s">
        <v>17</v>
      </c>
      <c r="C16" s="2"/>
      <c r="E16" s="2" t="s">
        <v>21</v>
      </c>
      <c r="F16" s="2"/>
      <c r="H16" s="5" t="s">
        <v>62</v>
      </c>
      <c r="I16" s="9">
        <v>13</v>
      </c>
    </row>
    <row r="17" spans="2:9">
      <c r="B17" s="4" t="s">
        <v>18</v>
      </c>
      <c r="C17" s="4"/>
      <c r="E17" s="4" t="s">
        <v>22</v>
      </c>
      <c r="F17" s="4"/>
      <c r="H17" s="5" t="s">
        <v>63</v>
      </c>
      <c r="I17" s="10">
        <v>0.8125</v>
      </c>
    </row>
    <row r="18" spans="2:9">
      <c r="B18" s="4"/>
      <c r="C18" s="4"/>
      <c r="E18" s="4"/>
      <c r="F18" s="4"/>
    </row>
    <row r="19" spans="2:9">
      <c r="B19" s="7" t="s">
        <v>19</v>
      </c>
      <c r="C19" s="7" t="s">
        <v>20</v>
      </c>
      <c r="E19" s="7" t="s">
        <v>23</v>
      </c>
      <c r="F19" s="7" t="s">
        <v>24</v>
      </c>
      <c r="H19" s="3" t="s">
        <v>64</v>
      </c>
    </row>
    <row r="20" spans="2:9">
      <c r="B20" s="8" t="s">
        <v>5</v>
      </c>
      <c r="C20" s="8"/>
      <c r="E20" s="8" t="s">
        <v>5</v>
      </c>
      <c r="F20" s="8"/>
      <c r="H20" s="5" t="s">
        <v>65</v>
      </c>
      <c r="I20" s="11" t="s">
        <v>66</v>
      </c>
    </row>
    <row r="21" spans="2:9">
      <c r="H21" s="5" t="s">
        <v>67</v>
      </c>
      <c r="I21" s="11" t="s">
        <v>66</v>
      </c>
    </row>
    <row r="22" spans="2:9">
      <c r="B22" s="2" t="s">
        <v>25</v>
      </c>
      <c r="C22" s="2"/>
      <c r="E22" s="2" t="s">
        <v>27</v>
      </c>
      <c r="F22" s="2"/>
      <c r="H22" s="5" t="s">
        <v>68</v>
      </c>
      <c r="I22" s="11" t="s">
        <v>66</v>
      </c>
    </row>
    <row r="23" spans="2:9">
      <c r="B23" s="4" t="s">
        <v>22</v>
      </c>
      <c r="C23" s="4"/>
      <c r="E23" s="4" t="s">
        <v>18</v>
      </c>
      <c r="F23" s="4"/>
      <c r="H23" s="5" t="s">
        <v>69</v>
      </c>
      <c r="I23" s="12" t="s">
        <v>70</v>
      </c>
    </row>
    <row r="24" spans="2:9">
      <c r="B24" s="4"/>
      <c r="C24" s="4"/>
      <c r="E24" s="4"/>
      <c r="F24" s="4"/>
    </row>
    <row r="25" spans="2:9">
      <c r="B25" s="7" t="s">
        <v>3</v>
      </c>
      <c r="C25" s="7" t="s">
        <v>26</v>
      </c>
      <c r="E25" s="7" t="s">
        <v>28</v>
      </c>
      <c r="F25" s="7" t="s">
        <v>29</v>
      </c>
      <c r="H25" s="3" t="s">
        <v>71</v>
      </c>
    </row>
    <row r="26" spans="2:9">
      <c r="B26" s="8" t="s">
        <v>5</v>
      </c>
      <c r="C26" s="8"/>
      <c r="E26" s="8" t="s">
        <v>5</v>
      </c>
      <c r="F26" s="8"/>
      <c r="H26" s="5" t="s">
        <v>72</v>
      </c>
      <c r="I26" s="9">
        <v>4</v>
      </c>
    </row>
    <row r="27" spans="2:9">
      <c r="H27" s="5" t="s">
        <v>73</v>
      </c>
      <c r="I27" s="9">
        <v>8</v>
      </c>
    </row>
    <row r="28" spans="2:9">
      <c r="B28" s="2" t="s">
        <v>30</v>
      </c>
      <c r="C28" s="2"/>
      <c r="E28" s="2" t="s">
        <v>34</v>
      </c>
      <c r="F28" s="2"/>
      <c r="H28" s="5" t="s">
        <v>74</v>
      </c>
      <c r="I28" s="9">
        <v>1</v>
      </c>
    </row>
    <row r="29" spans="2:9">
      <c r="B29" s="4" t="s">
        <v>31</v>
      </c>
      <c r="C29" s="4"/>
      <c r="E29" s="4" t="s">
        <v>35</v>
      </c>
      <c r="F29" s="4"/>
    </row>
    <row r="30" spans="2:9">
      <c r="B30" s="4"/>
      <c r="C30" s="4"/>
      <c r="E30" s="4"/>
      <c r="F30" s="4"/>
    </row>
    <row r="31" spans="2:9">
      <c r="B31" s="7" t="s">
        <v>32</v>
      </c>
      <c r="C31" s="7" t="s">
        <v>33</v>
      </c>
      <c r="E31" s="7" t="s">
        <v>36</v>
      </c>
      <c r="F31" s="7" t="s">
        <v>37</v>
      </c>
    </row>
    <row r="32" spans="2:9">
      <c r="B32" s="8" t="s">
        <v>5</v>
      </c>
      <c r="C32" s="8"/>
      <c r="E32" s="8" t="s">
        <v>5</v>
      </c>
      <c r="F32" s="8"/>
    </row>
    <row r="34" spans="2:6">
      <c r="B34" s="2" t="s">
        <v>38</v>
      </c>
      <c r="C34" s="2"/>
      <c r="E34" s="2" t="s">
        <v>41</v>
      </c>
      <c r="F34" s="2"/>
    </row>
    <row r="35" spans="2:6">
      <c r="B35" s="4" t="s">
        <v>18</v>
      </c>
      <c r="C35" s="4"/>
      <c r="E35" s="4" t="s">
        <v>42</v>
      </c>
      <c r="F35" s="4"/>
    </row>
    <row r="36" spans="2:6">
      <c r="B36" s="4"/>
      <c r="C36" s="4"/>
      <c r="E36" s="4"/>
      <c r="F36" s="4"/>
    </row>
    <row r="37" spans="2:6">
      <c r="B37" s="7" t="s">
        <v>39</v>
      </c>
      <c r="C37" s="7" t="s">
        <v>40</v>
      </c>
      <c r="E37" s="7" t="s">
        <v>39</v>
      </c>
      <c r="F37" s="7" t="s">
        <v>43</v>
      </c>
    </row>
    <row r="38" spans="2:6">
      <c r="B38" s="8" t="s">
        <v>5</v>
      </c>
      <c r="C38" s="8"/>
      <c r="E38" s="8" t="s">
        <v>5</v>
      </c>
      <c r="F38" s="8"/>
    </row>
    <row r="40" spans="2:6">
      <c r="B40" s="2" t="s">
        <v>44</v>
      </c>
      <c r="C40" s="2"/>
      <c r="E40" s="2" t="s">
        <v>48</v>
      </c>
      <c r="F40" s="2"/>
    </row>
    <row r="41" spans="2:6">
      <c r="B41" s="4" t="s">
        <v>45</v>
      </c>
      <c r="C41" s="4"/>
      <c r="E41" s="4" t="s">
        <v>49</v>
      </c>
      <c r="F41" s="4"/>
    </row>
    <row r="42" spans="2:6">
      <c r="B42" s="4"/>
      <c r="C42" s="4"/>
      <c r="E42" s="4"/>
      <c r="F42" s="4"/>
    </row>
    <row r="43" spans="2:6">
      <c r="B43" s="7" t="s">
        <v>46</v>
      </c>
      <c r="C43" s="7" t="s">
        <v>47</v>
      </c>
      <c r="E43" s="7" t="s">
        <v>50</v>
      </c>
      <c r="F43" s="7" t="s">
        <v>51</v>
      </c>
    </row>
    <row r="44" spans="2:6">
      <c r="B44" s="8" t="s">
        <v>5</v>
      </c>
      <c r="C44" s="8"/>
      <c r="E44" s="8" t="s">
        <v>5</v>
      </c>
      <c r="F44" s="8"/>
    </row>
  </sheetData>
  <mergeCells count="43">
    <mergeCell ref="B2:I2"/>
    <mergeCell ref="B4:C4"/>
    <mergeCell ref="B5:C6"/>
    <mergeCell ref="B8:C8"/>
    <mergeCell ref="E4:F4"/>
    <mergeCell ref="E5:F6"/>
    <mergeCell ref="E8:F8"/>
    <mergeCell ref="B10:C10"/>
    <mergeCell ref="B11:C12"/>
    <mergeCell ref="B14:C14"/>
    <mergeCell ref="E10:F10"/>
    <mergeCell ref="E11:F12"/>
    <mergeCell ref="E14:F14"/>
    <mergeCell ref="B16:C16"/>
    <mergeCell ref="B17:C18"/>
    <mergeCell ref="B20:C20"/>
    <mergeCell ref="E16:F16"/>
    <mergeCell ref="E17:F18"/>
    <mergeCell ref="E20:F20"/>
    <mergeCell ref="B22:C22"/>
    <mergeCell ref="B23:C24"/>
    <mergeCell ref="B26:C26"/>
    <mergeCell ref="E22:F22"/>
    <mergeCell ref="E23:F24"/>
    <mergeCell ref="E26:F26"/>
    <mergeCell ref="B28:C28"/>
    <mergeCell ref="B29:C30"/>
    <mergeCell ref="B32:C32"/>
    <mergeCell ref="E28:F28"/>
    <mergeCell ref="E29:F30"/>
    <mergeCell ref="E32:F32"/>
    <mergeCell ref="B34:C34"/>
    <mergeCell ref="B35:C36"/>
    <mergeCell ref="B38:C38"/>
    <mergeCell ref="E34:F34"/>
    <mergeCell ref="E35:F36"/>
    <mergeCell ref="E38:F38"/>
    <mergeCell ref="B40:C40"/>
    <mergeCell ref="B41:C42"/>
    <mergeCell ref="B44:C44"/>
    <mergeCell ref="E40:F40"/>
    <mergeCell ref="E41:F42"/>
    <mergeCell ref="E44:F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C26"/>
  <sheetViews>
    <sheetView workbookViewId="0"/>
  </sheetViews>
  <sheetFormatPr defaultRowHeight="15"/>
  <cols>
    <col min="1" max="1" width="2.7109375" customWidth="1"/>
    <col min="2" max="4" width="35.7109375" customWidth="1"/>
  </cols>
  <sheetData>
    <row r="2" spans="2:3">
      <c r="B2" s="13" t="s">
        <v>75</v>
      </c>
    </row>
    <row r="4" spans="2:3">
      <c r="B4" s="14" t="s">
        <v>76</v>
      </c>
      <c r="C4" s="14" t="s">
        <v>77</v>
      </c>
    </row>
    <row r="5" spans="2:3">
      <c r="B5" s="5" t="s">
        <v>78</v>
      </c>
      <c r="C5" s="6">
        <v>14000000</v>
      </c>
    </row>
    <row r="6" spans="2:3">
      <c r="B6" s="5" t="s">
        <v>79</v>
      </c>
      <c r="C6" s="6">
        <v>1700000</v>
      </c>
    </row>
    <row r="7" spans="2:3">
      <c r="B7" s="5" t="s">
        <v>80</v>
      </c>
      <c r="C7" s="6">
        <v>1900000</v>
      </c>
    </row>
    <row r="8" spans="2:3">
      <c r="B8" s="5" t="s">
        <v>81</v>
      </c>
      <c r="C8" s="6">
        <v>2300500</v>
      </c>
    </row>
    <row r="9" spans="2:3">
      <c r="B9" s="5" t="s">
        <v>82</v>
      </c>
      <c r="C9" s="6">
        <v>3000000</v>
      </c>
    </row>
    <row r="10" spans="2:3">
      <c r="B10" s="5" t="s">
        <v>83</v>
      </c>
      <c r="C10" s="6">
        <v>1600000</v>
      </c>
    </row>
    <row r="11" spans="2:3">
      <c r="B11" s="5" t="s">
        <v>84</v>
      </c>
      <c r="C11" s="6">
        <v>2700000</v>
      </c>
    </row>
    <row r="14" spans="2:3">
      <c r="B14" s="14" t="s">
        <v>85</v>
      </c>
      <c r="C14" s="14" t="s">
        <v>77</v>
      </c>
    </row>
    <row r="15" spans="2:3">
      <c r="B15" s="5" t="s">
        <v>86</v>
      </c>
      <c r="C15" s="6">
        <v>1886667</v>
      </c>
    </row>
    <row r="16" spans="2:3">
      <c r="B16" s="5" t="s">
        <v>87</v>
      </c>
      <c r="C16" s="6">
        <v>3686667</v>
      </c>
    </row>
    <row r="17" spans="2:3">
      <c r="B17" s="5" t="s">
        <v>88</v>
      </c>
      <c r="C17" s="6">
        <v>7010000</v>
      </c>
    </row>
    <row r="18" spans="2:3">
      <c r="B18" s="5" t="s">
        <v>89</v>
      </c>
      <c r="C18" s="6">
        <v>2271667</v>
      </c>
    </row>
    <row r="19" spans="2:3">
      <c r="B19" s="5" t="s">
        <v>90</v>
      </c>
      <c r="C19" s="6">
        <v>588333</v>
      </c>
    </row>
    <row r="20" spans="2:3">
      <c r="B20" s="5" t="s">
        <v>91</v>
      </c>
      <c r="C20" s="6">
        <v>666000</v>
      </c>
    </row>
    <row r="21" spans="2:3">
      <c r="B21" s="5" t="s">
        <v>92</v>
      </c>
      <c r="C21" s="6">
        <v>1515867</v>
      </c>
    </row>
    <row r="24" spans="2:3">
      <c r="B24" s="3" t="s">
        <v>93</v>
      </c>
    </row>
    <row r="25" spans="2:3">
      <c r="B25" s="5" t="s">
        <v>94</v>
      </c>
      <c r="C25" s="6">
        <v>17625200</v>
      </c>
    </row>
    <row r="26" spans="2:3">
      <c r="B26" s="5" t="s">
        <v>95</v>
      </c>
      <c r="C26" s="6">
        <v>16215184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2:D23"/>
  <sheetViews>
    <sheetView workbookViewId="0"/>
  </sheetViews>
  <sheetFormatPr defaultRowHeight="15"/>
  <cols>
    <col min="1" max="1" width="2.7109375" customWidth="1"/>
    <col min="2" max="2" width="70.7109375" customWidth="1"/>
    <col min="3" max="4" width="20.7109375" customWidth="1"/>
  </cols>
  <sheetData>
    <row r="2" spans="2:4">
      <c r="B2" s="13" t="s">
        <v>96</v>
      </c>
    </row>
    <row r="4" spans="2:4">
      <c r="B4" s="14" t="s">
        <v>97</v>
      </c>
      <c r="C4" s="14" t="s">
        <v>98</v>
      </c>
      <c r="D4" s="14" t="s">
        <v>99</v>
      </c>
    </row>
    <row r="5" spans="2:4">
      <c r="B5" s="5" t="s">
        <v>100</v>
      </c>
      <c r="C5" s="15">
        <v>46181</v>
      </c>
      <c r="D5" s="11" t="s">
        <v>101</v>
      </c>
    </row>
    <row r="6" spans="2:4">
      <c r="B6" s="5" t="s">
        <v>102</v>
      </c>
      <c r="C6" s="15">
        <v>46184</v>
      </c>
      <c r="D6" s="11" t="s">
        <v>101</v>
      </c>
    </row>
    <row r="7" spans="2:4">
      <c r="B7" s="5" t="s">
        <v>103</v>
      </c>
      <c r="C7" s="15">
        <v>46187</v>
      </c>
      <c r="D7" s="11" t="s">
        <v>101</v>
      </c>
    </row>
    <row r="8" spans="2:4">
      <c r="B8" s="5" t="s">
        <v>104</v>
      </c>
      <c r="C8" s="15">
        <v>46190</v>
      </c>
      <c r="D8" s="11" t="s">
        <v>101</v>
      </c>
    </row>
    <row r="9" spans="2:4">
      <c r="B9" s="5" t="s">
        <v>105</v>
      </c>
      <c r="C9" s="15">
        <v>46193</v>
      </c>
      <c r="D9" s="11" t="s">
        <v>101</v>
      </c>
    </row>
    <row r="10" spans="2:4">
      <c r="B10" s="5" t="s">
        <v>106</v>
      </c>
      <c r="C10" s="15">
        <v>46194</v>
      </c>
      <c r="D10" s="11" t="s">
        <v>101</v>
      </c>
    </row>
    <row r="11" spans="2:4">
      <c r="B11" s="5" t="s">
        <v>107</v>
      </c>
      <c r="C11" s="15">
        <v>46196</v>
      </c>
      <c r="D11" s="12" t="s">
        <v>108</v>
      </c>
    </row>
    <row r="12" spans="2:4">
      <c r="B12" s="5" t="s">
        <v>109</v>
      </c>
      <c r="C12" s="15">
        <v>46197</v>
      </c>
      <c r="D12" s="16" t="s">
        <v>110</v>
      </c>
    </row>
    <row r="15" spans="2:4">
      <c r="B15" s="3" t="s">
        <v>111</v>
      </c>
    </row>
    <row r="16" spans="2:4">
      <c r="B16" s="17" t="s">
        <v>112</v>
      </c>
    </row>
    <row r="17" spans="2:2">
      <c r="B17" s="17" t="s">
        <v>113</v>
      </c>
    </row>
    <row r="18" spans="2:2">
      <c r="B18" s="17" t="s">
        <v>114</v>
      </c>
    </row>
    <row r="19" spans="2:2">
      <c r="B19" s="17" t="s">
        <v>115</v>
      </c>
    </row>
    <row r="20" spans="2:2">
      <c r="B20" s="17" t="s">
        <v>116</v>
      </c>
    </row>
    <row r="21" spans="2:2">
      <c r="B21" s="17" t="s">
        <v>117</v>
      </c>
    </row>
    <row r="22" spans="2:2">
      <c r="B22" s="17" t="s">
        <v>118</v>
      </c>
    </row>
    <row r="23" spans="2:2">
      <c r="B23" s="17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G32"/>
  <sheetViews>
    <sheetView workbookViewId="0"/>
  </sheetViews>
  <sheetFormatPr defaultRowHeight="15"/>
  <cols>
    <col min="1" max="1" width="2.7109375" customWidth="1"/>
    <col min="2" max="2" width="10.7109375" customWidth="1"/>
    <col min="3" max="3" width="50.7109375" customWidth="1"/>
    <col min="4" max="5" width="12.7109375" customWidth="1"/>
    <col min="6" max="6" width="15.7109375" customWidth="1"/>
    <col min="7" max="7" width="35.7109375" customWidth="1"/>
  </cols>
  <sheetData>
    <row r="2" spans="2:7">
      <c r="B2" s="13" t="s">
        <v>120</v>
      </c>
    </row>
    <row r="4" spans="2:7">
      <c r="B4" s="14" t="s">
        <v>121</v>
      </c>
      <c r="C4" s="14" t="s">
        <v>122</v>
      </c>
      <c r="D4" s="14" t="s">
        <v>123</v>
      </c>
      <c r="E4" s="14" t="s">
        <v>124</v>
      </c>
      <c r="F4" s="14" t="s">
        <v>125</v>
      </c>
      <c r="G4" s="14" t="s">
        <v>126</v>
      </c>
    </row>
    <row r="5" spans="2:7">
      <c r="B5" s="9" t="s">
        <v>127</v>
      </c>
      <c r="C5" s="5" t="s">
        <v>128</v>
      </c>
      <c r="D5" s="9">
        <v>5</v>
      </c>
      <c r="E5" s="9">
        <v>5</v>
      </c>
      <c r="F5" s="16">
        <v>25</v>
      </c>
      <c r="G5" s="5" t="s">
        <v>129</v>
      </c>
    </row>
    <row r="6" spans="2:7">
      <c r="B6" s="9" t="s">
        <v>130</v>
      </c>
      <c r="C6" s="5" t="s">
        <v>131</v>
      </c>
      <c r="D6" s="9">
        <v>4</v>
      </c>
      <c r="E6" s="9">
        <v>5</v>
      </c>
      <c r="F6" s="16">
        <v>20</v>
      </c>
      <c r="G6" s="5" t="s">
        <v>132</v>
      </c>
    </row>
    <row r="7" spans="2:7">
      <c r="B7" s="9" t="s">
        <v>133</v>
      </c>
      <c r="C7" s="5" t="s">
        <v>134</v>
      </c>
      <c r="D7" s="9">
        <v>4</v>
      </c>
      <c r="E7" s="9">
        <v>5</v>
      </c>
      <c r="F7" s="16">
        <v>20</v>
      </c>
      <c r="G7" s="5" t="s">
        <v>135</v>
      </c>
    </row>
    <row r="8" spans="2:7">
      <c r="B8" s="9" t="s">
        <v>136</v>
      </c>
      <c r="C8" s="5" t="s">
        <v>137</v>
      </c>
      <c r="D8" s="9">
        <v>4</v>
      </c>
      <c r="E8" s="9">
        <v>4</v>
      </c>
      <c r="F8" s="16">
        <v>16</v>
      </c>
      <c r="G8" s="5" t="s">
        <v>129</v>
      </c>
    </row>
    <row r="9" spans="2:7">
      <c r="B9" s="9" t="s">
        <v>138</v>
      </c>
      <c r="C9" s="5" t="s">
        <v>139</v>
      </c>
      <c r="D9" s="9">
        <v>3</v>
      </c>
      <c r="E9" s="9">
        <v>5</v>
      </c>
      <c r="F9" s="12">
        <v>15</v>
      </c>
      <c r="G9" s="5" t="s">
        <v>135</v>
      </c>
    </row>
    <row r="10" spans="2:7">
      <c r="B10" s="9" t="s">
        <v>140</v>
      </c>
      <c r="C10" s="5" t="s">
        <v>141</v>
      </c>
      <c r="D10" s="9">
        <v>3</v>
      </c>
      <c r="E10" s="9">
        <v>4</v>
      </c>
      <c r="F10" s="12">
        <v>12</v>
      </c>
      <c r="G10" s="5" t="s">
        <v>135</v>
      </c>
    </row>
    <row r="11" spans="2:7">
      <c r="B11" s="9" t="s">
        <v>142</v>
      </c>
      <c r="C11" s="5" t="s">
        <v>143</v>
      </c>
      <c r="D11" s="9">
        <v>3</v>
      </c>
      <c r="E11" s="9">
        <v>4</v>
      </c>
      <c r="F11" s="12">
        <v>12</v>
      </c>
      <c r="G11" s="5" t="s">
        <v>135</v>
      </c>
    </row>
    <row r="12" spans="2:7">
      <c r="B12" s="9" t="s">
        <v>144</v>
      </c>
      <c r="C12" s="5" t="s">
        <v>145</v>
      </c>
      <c r="D12" s="9">
        <v>3</v>
      </c>
      <c r="E12" s="9">
        <v>4</v>
      </c>
      <c r="F12" s="12">
        <v>12</v>
      </c>
      <c r="G12" s="5" t="s">
        <v>132</v>
      </c>
    </row>
    <row r="13" spans="2:7">
      <c r="B13" s="9" t="s">
        <v>146</v>
      </c>
      <c r="C13" s="5" t="s">
        <v>147</v>
      </c>
      <c r="D13" s="9">
        <v>3</v>
      </c>
      <c r="E13" s="9">
        <v>4</v>
      </c>
      <c r="F13" s="12">
        <v>12</v>
      </c>
      <c r="G13" s="5" t="s">
        <v>148</v>
      </c>
    </row>
    <row r="14" spans="2:7">
      <c r="B14" s="9" t="s">
        <v>149</v>
      </c>
      <c r="C14" s="5" t="s">
        <v>150</v>
      </c>
      <c r="D14" s="9">
        <v>3</v>
      </c>
      <c r="E14" s="9">
        <v>4</v>
      </c>
      <c r="F14" s="12">
        <v>12</v>
      </c>
      <c r="G14" s="5" t="s">
        <v>129</v>
      </c>
    </row>
    <row r="15" spans="2:7">
      <c r="B15" s="9" t="s">
        <v>151</v>
      </c>
      <c r="C15" s="5" t="s">
        <v>152</v>
      </c>
      <c r="D15" s="9">
        <v>3</v>
      </c>
      <c r="E15" s="9">
        <v>4</v>
      </c>
      <c r="F15" s="12">
        <v>12</v>
      </c>
      <c r="G15" s="5" t="s">
        <v>148</v>
      </c>
    </row>
    <row r="16" spans="2:7">
      <c r="B16" s="9" t="s">
        <v>153</v>
      </c>
      <c r="C16" s="5" t="s">
        <v>154</v>
      </c>
      <c r="D16" s="9">
        <v>3</v>
      </c>
      <c r="E16" s="9">
        <v>4</v>
      </c>
      <c r="F16" s="12">
        <v>12</v>
      </c>
      <c r="G16" s="5" t="s">
        <v>155</v>
      </c>
    </row>
    <row r="17" spans="2:7">
      <c r="B17" s="9" t="s">
        <v>156</v>
      </c>
      <c r="C17" s="5" t="s">
        <v>157</v>
      </c>
      <c r="D17" s="9">
        <v>3</v>
      </c>
      <c r="E17" s="9">
        <v>3</v>
      </c>
      <c r="F17" s="11">
        <v>9</v>
      </c>
      <c r="G17" s="5" t="s">
        <v>129</v>
      </c>
    </row>
    <row r="20" spans="2:7">
      <c r="C20" s="3" t="s">
        <v>158</v>
      </c>
    </row>
    <row r="21" spans="2:7">
      <c r="C21" s="5" t="s">
        <v>72</v>
      </c>
      <c r="D21" s="9">
        <v>4</v>
      </c>
    </row>
    <row r="22" spans="2:7">
      <c r="C22" s="5" t="s">
        <v>73</v>
      </c>
      <c r="D22" s="9">
        <v>8</v>
      </c>
    </row>
    <row r="23" spans="2:7">
      <c r="C23" s="5" t="s">
        <v>74</v>
      </c>
      <c r="D23" s="9">
        <v>1</v>
      </c>
    </row>
    <row r="26" spans="2:7">
      <c r="B26" s="3" t="s">
        <v>159</v>
      </c>
    </row>
    <row r="27" spans="2:7">
      <c r="C27" s="14" t="s">
        <v>160</v>
      </c>
      <c r="D27" s="14" t="s">
        <v>161</v>
      </c>
      <c r="E27" s="14" t="s">
        <v>162</v>
      </c>
      <c r="F27" s="14" t="s">
        <v>163</v>
      </c>
      <c r="G27" s="14" t="s">
        <v>164</v>
      </c>
    </row>
    <row r="28" spans="2:7">
      <c r="B28" s="14" t="s">
        <v>165</v>
      </c>
      <c r="C28" s="9"/>
      <c r="D28" s="9"/>
      <c r="E28" s="9"/>
      <c r="F28" s="9"/>
      <c r="G28" s="16">
        <v>1</v>
      </c>
    </row>
    <row r="29" spans="2:7">
      <c r="B29" s="14" t="s">
        <v>166</v>
      </c>
      <c r="C29" s="9"/>
      <c r="D29" s="9"/>
      <c r="E29" s="9"/>
      <c r="F29" s="16">
        <v>1</v>
      </c>
      <c r="G29" s="16">
        <v>2</v>
      </c>
    </row>
    <row r="30" spans="2:7">
      <c r="B30" s="14" t="s">
        <v>167</v>
      </c>
      <c r="C30" s="9"/>
      <c r="D30" s="9"/>
      <c r="E30" s="11">
        <v>1</v>
      </c>
      <c r="F30" s="12">
        <v>7</v>
      </c>
      <c r="G30" s="12">
        <v>1</v>
      </c>
    </row>
    <row r="31" spans="2:7">
      <c r="B31" s="14" t="s">
        <v>168</v>
      </c>
      <c r="C31" s="9"/>
      <c r="D31" s="9"/>
      <c r="E31" s="9"/>
      <c r="F31" s="9"/>
      <c r="G31" s="9"/>
    </row>
    <row r="32" spans="2:7">
      <c r="B32" s="14" t="s">
        <v>169</v>
      </c>
      <c r="C32" s="9"/>
      <c r="D32" s="9"/>
      <c r="E32" s="9"/>
      <c r="F32" s="9"/>
      <c r="G32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5"/>
  <sheetViews>
    <sheetView workbookViewId="0"/>
  </sheetViews>
  <sheetFormatPr defaultRowHeight="15"/>
  <cols>
    <col min="1" max="1" width="2.7109375" customWidth="1"/>
    <col min="2" max="2" width="10.7109375" customWidth="1"/>
    <col min="3" max="3" width="45.7109375" customWidth="1"/>
    <col min="4" max="4" width="15.7109375" customWidth="1"/>
    <col min="5" max="5" width="25.7109375" customWidth="1"/>
    <col min="6" max="6" width="30.7109375" customWidth="1"/>
  </cols>
  <sheetData>
    <row r="2" spans="2:6">
      <c r="B2" s="13" t="s">
        <v>170</v>
      </c>
    </row>
    <row r="4" spans="2:6">
      <c r="B4" s="14" t="s">
        <v>121</v>
      </c>
      <c r="C4" s="14" t="s">
        <v>171</v>
      </c>
      <c r="D4" s="14" t="s">
        <v>99</v>
      </c>
      <c r="E4" s="14" t="s">
        <v>85</v>
      </c>
      <c r="F4" s="14" t="s">
        <v>126</v>
      </c>
    </row>
    <row r="5" spans="2:6">
      <c r="B5" s="9" t="s">
        <v>172</v>
      </c>
      <c r="C5" s="5" t="s">
        <v>173</v>
      </c>
      <c r="D5" s="11" t="s">
        <v>101</v>
      </c>
      <c r="E5" s="9" t="s">
        <v>174</v>
      </c>
      <c r="F5" s="9" t="s">
        <v>175</v>
      </c>
    </row>
    <row r="6" spans="2:6">
      <c r="B6" s="9" t="s">
        <v>176</v>
      </c>
      <c r="C6" s="5" t="s">
        <v>177</v>
      </c>
      <c r="D6" s="11" t="s">
        <v>101</v>
      </c>
      <c r="E6" s="9" t="s">
        <v>174</v>
      </c>
      <c r="F6" s="9" t="s">
        <v>129</v>
      </c>
    </row>
    <row r="7" spans="2:6">
      <c r="B7" s="9" t="s">
        <v>178</v>
      </c>
      <c r="C7" s="5" t="s">
        <v>179</v>
      </c>
      <c r="D7" s="11" t="s">
        <v>101</v>
      </c>
      <c r="E7" s="9" t="s">
        <v>174</v>
      </c>
      <c r="F7" s="9" t="s">
        <v>180</v>
      </c>
    </row>
    <row r="8" spans="2:6">
      <c r="B8" s="9" t="s">
        <v>181</v>
      </c>
      <c r="C8" s="5" t="s">
        <v>182</v>
      </c>
      <c r="D8" s="11" t="s">
        <v>101</v>
      </c>
      <c r="E8" s="9" t="s">
        <v>183</v>
      </c>
      <c r="F8" s="9" t="s">
        <v>129</v>
      </c>
    </row>
    <row r="9" spans="2:6">
      <c r="B9" s="9" t="s">
        <v>184</v>
      </c>
      <c r="C9" s="5" t="s">
        <v>185</v>
      </c>
      <c r="D9" s="11" t="s">
        <v>101</v>
      </c>
      <c r="E9" s="9" t="s">
        <v>183</v>
      </c>
      <c r="F9" s="9" t="s">
        <v>175</v>
      </c>
    </row>
    <row r="10" spans="2:6">
      <c r="B10" s="9" t="s">
        <v>186</v>
      </c>
      <c r="C10" s="5" t="s">
        <v>187</v>
      </c>
      <c r="D10" s="11" t="s">
        <v>101</v>
      </c>
      <c r="E10" s="9" t="s">
        <v>183</v>
      </c>
      <c r="F10" s="9" t="s">
        <v>129</v>
      </c>
    </row>
    <row r="11" spans="2:6">
      <c r="B11" s="9" t="s">
        <v>188</v>
      </c>
      <c r="C11" s="5" t="s">
        <v>189</v>
      </c>
      <c r="D11" s="11" t="s">
        <v>101</v>
      </c>
      <c r="E11" s="9" t="s">
        <v>183</v>
      </c>
      <c r="F11" s="9" t="s">
        <v>129</v>
      </c>
    </row>
    <row r="12" spans="2:6">
      <c r="B12" s="9" t="s">
        <v>190</v>
      </c>
      <c r="C12" s="5" t="s">
        <v>191</v>
      </c>
      <c r="D12" s="11" t="s">
        <v>101</v>
      </c>
      <c r="E12" s="9" t="s">
        <v>183</v>
      </c>
      <c r="F12" s="9" t="s">
        <v>129</v>
      </c>
    </row>
    <row r="13" spans="2:6">
      <c r="B13" s="9" t="s">
        <v>192</v>
      </c>
      <c r="C13" s="5" t="s">
        <v>193</v>
      </c>
      <c r="D13" s="11" t="s">
        <v>101</v>
      </c>
      <c r="E13" s="9" t="s">
        <v>183</v>
      </c>
      <c r="F13" s="9" t="s">
        <v>129</v>
      </c>
    </row>
    <row r="14" spans="2:6">
      <c r="B14" s="9" t="s">
        <v>194</v>
      </c>
      <c r="C14" s="5" t="s">
        <v>195</v>
      </c>
      <c r="D14" s="11" t="s">
        <v>101</v>
      </c>
      <c r="E14" s="9" t="s">
        <v>183</v>
      </c>
      <c r="F14" s="9" t="s">
        <v>180</v>
      </c>
    </row>
    <row r="15" spans="2:6">
      <c r="B15" s="9" t="s">
        <v>196</v>
      </c>
      <c r="C15" s="5" t="s">
        <v>197</v>
      </c>
      <c r="D15" s="11" t="s">
        <v>101</v>
      </c>
      <c r="E15" s="9" t="s">
        <v>183</v>
      </c>
      <c r="F15" s="9" t="s">
        <v>175</v>
      </c>
    </row>
    <row r="16" spans="2:6">
      <c r="B16" s="9" t="s">
        <v>198</v>
      </c>
      <c r="C16" s="5" t="s">
        <v>199</v>
      </c>
      <c r="D16" s="11" t="s">
        <v>101</v>
      </c>
      <c r="E16" s="9" t="s">
        <v>183</v>
      </c>
      <c r="F16" s="9" t="s">
        <v>180</v>
      </c>
    </row>
    <row r="17" spans="2:6">
      <c r="B17" s="9" t="s">
        <v>200</v>
      </c>
      <c r="C17" s="5" t="s">
        <v>201</v>
      </c>
      <c r="D17" s="11" t="s">
        <v>101</v>
      </c>
      <c r="E17" s="9" t="s">
        <v>183</v>
      </c>
      <c r="F17" s="9" t="s">
        <v>129</v>
      </c>
    </row>
    <row r="18" spans="2:6">
      <c r="B18" s="9" t="s">
        <v>202</v>
      </c>
      <c r="C18" s="5" t="s">
        <v>203</v>
      </c>
      <c r="D18" s="11" t="s">
        <v>101</v>
      </c>
      <c r="E18" s="9" t="s">
        <v>183</v>
      </c>
      <c r="F18" s="9" t="s">
        <v>129</v>
      </c>
    </row>
    <row r="19" spans="2:6">
      <c r="B19" s="9" t="s">
        <v>204</v>
      </c>
      <c r="C19" s="5" t="s">
        <v>205</v>
      </c>
      <c r="D19" s="11" t="s">
        <v>101</v>
      </c>
      <c r="E19" s="9" t="s">
        <v>183</v>
      </c>
      <c r="F19" s="9" t="s">
        <v>175</v>
      </c>
    </row>
    <row r="20" spans="2:6">
      <c r="B20" s="9" t="s">
        <v>206</v>
      </c>
      <c r="C20" s="5" t="s">
        <v>207</v>
      </c>
      <c r="D20" s="11" t="s">
        <v>101</v>
      </c>
      <c r="E20" s="9" t="s">
        <v>183</v>
      </c>
      <c r="F20" s="9" t="s">
        <v>180</v>
      </c>
    </row>
    <row r="21" spans="2:6">
      <c r="B21" s="9" t="s">
        <v>208</v>
      </c>
      <c r="C21" s="5" t="s">
        <v>209</v>
      </c>
      <c r="D21" s="11" t="s">
        <v>101</v>
      </c>
      <c r="E21" s="9" t="s">
        <v>183</v>
      </c>
      <c r="F21" s="9" t="s">
        <v>175</v>
      </c>
    </row>
    <row r="22" spans="2:6">
      <c r="B22" s="9" t="s">
        <v>210</v>
      </c>
      <c r="C22" s="5" t="s">
        <v>211</v>
      </c>
      <c r="D22" s="11" t="s">
        <v>101</v>
      </c>
      <c r="E22" s="9" t="s">
        <v>212</v>
      </c>
      <c r="F22" s="9" t="s">
        <v>213</v>
      </c>
    </row>
    <row r="23" spans="2:6">
      <c r="B23" s="9" t="s">
        <v>214</v>
      </c>
      <c r="C23" s="5" t="s">
        <v>215</v>
      </c>
      <c r="D23" s="11" t="s">
        <v>101</v>
      </c>
      <c r="E23" s="9" t="s">
        <v>216</v>
      </c>
      <c r="F23" s="9" t="s">
        <v>129</v>
      </c>
    </row>
    <row r="24" spans="2:6">
      <c r="B24" s="9" t="s">
        <v>217</v>
      </c>
      <c r="C24" s="5" t="s">
        <v>218</v>
      </c>
      <c r="D24" s="11" t="s">
        <v>101</v>
      </c>
      <c r="E24" s="9" t="s">
        <v>216</v>
      </c>
      <c r="F24" s="9" t="s">
        <v>175</v>
      </c>
    </row>
    <row r="25" spans="2:6">
      <c r="B25" s="9" t="s">
        <v>219</v>
      </c>
      <c r="C25" s="5" t="s">
        <v>220</v>
      </c>
      <c r="D25" s="11" t="s">
        <v>101</v>
      </c>
      <c r="E25" s="9" t="s">
        <v>216</v>
      </c>
      <c r="F25" s="9" t="s">
        <v>180</v>
      </c>
    </row>
    <row r="26" spans="2:6">
      <c r="B26" s="9" t="s">
        <v>221</v>
      </c>
      <c r="C26" s="5" t="s">
        <v>222</v>
      </c>
      <c r="D26" s="11" t="s">
        <v>101</v>
      </c>
      <c r="E26" s="9" t="s">
        <v>216</v>
      </c>
      <c r="F26" s="9" t="s">
        <v>129</v>
      </c>
    </row>
    <row r="27" spans="2:6">
      <c r="B27" s="9" t="s">
        <v>223</v>
      </c>
      <c r="C27" s="5" t="s">
        <v>224</v>
      </c>
      <c r="D27" s="11" t="s">
        <v>101</v>
      </c>
      <c r="E27" s="9" t="s">
        <v>225</v>
      </c>
      <c r="F27" s="9" t="s">
        <v>129</v>
      </c>
    </row>
    <row r="28" spans="2:6">
      <c r="B28" s="9" t="s">
        <v>226</v>
      </c>
      <c r="C28" s="5" t="s">
        <v>227</v>
      </c>
      <c r="D28" s="11" t="s">
        <v>101</v>
      </c>
      <c r="E28" s="9" t="s">
        <v>225</v>
      </c>
      <c r="F28" s="9" t="s">
        <v>228</v>
      </c>
    </row>
    <row r="29" spans="2:6">
      <c r="B29" s="9" t="s">
        <v>229</v>
      </c>
      <c r="C29" s="5" t="s">
        <v>230</v>
      </c>
      <c r="D29" s="16" t="s">
        <v>110</v>
      </c>
      <c r="E29" s="9" t="s">
        <v>216</v>
      </c>
      <c r="F29" s="9" t="s">
        <v>175</v>
      </c>
    </row>
    <row r="30" spans="2:6">
      <c r="B30" s="9" t="s">
        <v>231</v>
      </c>
      <c r="C30" s="5" t="s">
        <v>232</v>
      </c>
      <c r="D30" s="16" t="s">
        <v>110</v>
      </c>
      <c r="E30" s="9" t="s">
        <v>225</v>
      </c>
      <c r="F30" s="9" t="s">
        <v>129</v>
      </c>
    </row>
    <row r="33" spans="2:3">
      <c r="B33" s="3" t="s">
        <v>233</v>
      </c>
    </row>
    <row r="34" spans="2:3">
      <c r="B34" s="5" t="s">
        <v>101</v>
      </c>
      <c r="C34" s="9">
        <v>24</v>
      </c>
    </row>
    <row r="35" spans="2:3">
      <c r="B35" s="5" t="s">
        <v>110</v>
      </c>
      <c r="C35" s="9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Presupuesto</vt:lpstr>
      <vt:lpstr>Cronograma e hitos</vt:lpstr>
      <vt:lpstr>Riesgos</vt:lpstr>
      <vt:lpstr>Entregables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2026-06-21T06:33:37Z</dcterms:created>
  <dcterms:modified xsi:type="dcterms:W3CDTF">2026-06-21T06:33:37Z</dcterms:modified>
</cp:coreProperties>
</file>